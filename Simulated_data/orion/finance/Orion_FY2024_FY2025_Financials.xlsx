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6e3eefd77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c06770106a843e0"/>
    <x:sheet xmlns:r="http://schemas.openxmlformats.org/officeDocument/2006/relationships" name="P&amp;L" sheetId="2" r:id="R8004d0c03f4a4bc6"/>
    <x:sheet xmlns:r="http://schemas.openxmlformats.org/officeDocument/2006/relationships" name="Balance Sheet" sheetId="3" r:id="Ra85f762c802e4ddd"/>
    <x:sheet xmlns:r="http://schemas.openxmlformats.org/officeDocument/2006/relationships" name="Cash Flow" sheetId="4" r:id="R9e1cb228d11c4594"/>
    <x:sheet xmlns:r="http://schemas.openxmlformats.org/officeDocument/2006/relationships" name="Metrics" sheetId="5" r:id="Rc2e89f479a5f4f07"/>
    <x:sheet xmlns:r="http://schemas.openxmlformats.org/officeDocument/2006/relationships" name="Sources" sheetId="6" r:id="R264c4942527c4247"/>
    <x:sheet xmlns:r="http://schemas.openxmlformats.org/officeDocument/2006/relationships" name="Checks" sheetId="7" r:id="R17c0a62af5eb4e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[Red](#,##0.00);-"/>
    <x:numFmt numFmtId="201" formatCode="0.0"/>
    <x:numFmt numFmtId="202" formatCode="0.0%"/>
    <x:numFmt numFmtId="203" formatCode="0.00x"/>
    <x:numFmt numFmtId="204" formatCode="0.000"/>
  </x:numFmts>
  <x:fonts count="1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F1F1F"/>
      <x:name val="Carlito"/>
    </x:font>
    <x:font>
      <x:i/>
      <x:sz val="11"/>
      <x:color rgb="FF595959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  <x:font>
      <x:sz val="11"/>
      <x:color rgb="FF1F1F1F"/>
      <x:name val="Aptos"/>
    </x:font>
    <x:font>
      <x:i/>
      <x:sz val="11"/>
      <x:color rgb="FF595959"/>
      <x:name val="Aptos"/>
    </x:font>
    <x:font>
      <x:sz val="11"/>
      <x:color rgb="FF0000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sz val="11"/>
      <x:color rgb="FF0000FF"/>
      <x:name val="Aptos"/>
    </x:font>
    <x:font>
      <x:b/>
      <x:sz val="11"/>
      <x:color rgb="FF1F1F1F"/>
      <x:name val="Aptos"/>
    </x:font>
    <x:font>
      <x:b/>
      <x:sz val="11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</x:fills>
  <x:borders count="12">
    <x:border/>
    <x:border>
      <x:left style="thin">
        <x:color rgb="FF595959"/>
      </x:left>
      <x:top style="thin">
        <x:color rgb="FF595959"/>
      </x:top>
      <x:bottom style="thin">
        <x:color rgb="FF595959"/>
      </x:bottom>
    </x:border>
    <x:border>
      <x:right style="thin">
        <x:color rgb="FF595959"/>
      </x:right>
      <x:top style="thin">
        <x:color rgb="FF595959"/>
      </x:top>
      <x:bottom style="thin">
        <x:color rgb="FF595959"/>
      </x:bottom>
    </x:border>
    <x:border>
      <x:left style="thin">
        <x:color rgb="FF595959"/>
      </x:left>
      <x:top style="thin">
        <x:color rgb="FF595959"/>
      </x:top>
    </x:border>
    <x:border>
      <x:top style="thin">
        <x:color rgb="FF595959"/>
      </x:top>
    </x:border>
    <x:border>
      <x:right style="thin">
        <x:color rgb="FF595959"/>
      </x:right>
      <x:top style="thin">
        <x:color rgb="FF595959"/>
      </x:top>
    </x:border>
    <x:border>
      <x:left style="thin">
        <x:color rgb="FF595959"/>
      </x:left>
    </x:border>
    <x:border>
      <x:right style="thin">
        <x:color rgb="FF595959"/>
      </x:right>
    </x:border>
    <x:border>
      <x:left style="thin">
        <x:color rgb="FF595959"/>
      </x:left>
      <x:bottom style="thin">
        <x:color rgb="FF595959"/>
      </x:bottom>
    </x:border>
    <x:border>
      <x:bottom style="thin">
        <x:color rgb="FF595959"/>
      </x:bottom>
    </x:border>
    <x:border>
      <x:right style="thin">
        <x:color rgb="FF595959"/>
      </x:right>
      <x:bottom style="thin">
        <x:color rgb="FF595959"/>
      </x:bottom>
    </x:border>
    <x:border>
      <x:top style="thin">
        <x:color rgb="FF595959"/>
      </x:top>
      <x:bottom style="thin">
        <x:color rgb="FF595959"/>
      </x:bottom>
    </x:border>
  </x:borders>
  <x:cellStyleXfs count="1">
    <x:xf numFmtId="0" fontId="0" fillId="0" borderId="0"/>
  </x:cellStyleXfs>
  <x:cellXfs count="1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 applyAlignment="1">
      <x:alignment horizontal="center" vertical="center"/>
    </x:xf>
    <x:xf numFmtId="0" fontId="8" fillId="3" borderId="2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10" fillId="4" borderId="3" xfId="0" applyNumberFormat="1" applyFont="1" applyFill="1" applyBorder="1" applyAlignment="1">
      <x:alignment vertical="center" wrapText="1"/>
    </x:xf>
    <x:xf numFmtId="0" fontId="10" fillId="4" borderId="4" xfId="0" applyNumberFormat="1" applyFont="1" applyFill="1" applyBorder="1" applyAlignment="1">
      <x:alignment vertical="center" wrapText="1"/>
    </x:xf>
    <x:xf numFmtId="0" fontId="10" fillId="4" borderId="5" xfId="0" applyNumberFormat="1" applyFont="1" applyFill="1" applyBorder="1" applyAlignment="1">
      <x:alignment vertical="center" wrapText="1"/>
    </x:xf>
    <x:xf numFmtId="0" fontId="10" fillId="4" borderId="6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7" xfId="0" applyNumberFormat="1" applyFont="1" applyFill="1" applyBorder="1" applyAlignment="1">
      <x:alignment vertical="center" wrapText="1"/>
    </x:xf>
    <x:xf numFmtId="0" fontId="10" fillId="4" borderId="8" xfId="0" applyNumberFormat="1" applyFont="1" applyFill="1" applyBorder="1" applyAlignment="1">
      <x:alignment vertical="center" wrapText="1"/>
    </x:xf>
    <x:xf numFmtId="0" fontId="10" fillId="4" borderId="9" xfId="0" applyNumberFormat="1" applyFont="1" applyFill="1" applyBorder="1" applyAlignment="1">
      <x:alignment vertical="center" wrapText="1"/>
    </x:xf>
    <x:xf numFmtId="0" fontId="10" fillId="4" borderId="1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wrapText="1"/>
    </x:xf>
    <x:xf numFmtId="0" fontId="2" fillId="3" borderId="11" xfId="0" applyNumberFormat="1" applyFont="1" applyFill="1" applyBorder="1"/>
    <x:xf numFmtId="0" fontId="2" fillId="3" borderId="11" xfId="0" applyNumberFormat="1" applyFont="1" applyFill="1" applyBorder="1" applyAlignment="1">
      <x:alignment horizont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200" fontId="0" fillId="0" borderId="0" xfId="0" applyNumberFormat="1" applyFont="1" applyFill="1" applyBorder="1"/>
    <x:xf numFmtId="200" fontId="0" fillId="6" borderId="0" xfId="0" applyNumberFormat="1" applyFont="1" applyFill="1" applyBorder="1"/>
    <x:xf numFmtId="200" fontId="0" fillId="7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6" borderId="0" xfId="0" applyNumberFormat="1" applyFont="1" applyFill="1" applyBorder="1" applyAlignment="1">
      <x:alignment horizontal="right"/>
    </x:xf>
    <x:xf numFmtId="200" fontId="0" fillId="7" borderId="0" xfId="0" applyNumberFormat="1" applyFont="1" applyFill="1" applyBorder="1" applyAlignment="1">
      <x:alignment horizontal="right"/>
    </x:xf>
    <x:xf numFmtId="200" fontId="12" fillId="0" borderId="0" xfId="0" applyNumberFormat="1" applyFont="1" applyFill="1" applyBorder="1" applyAlignment="1">
      <x:alignment horizontal="right"/>
    </x:xf>
    <x:xf numFmtId="200" fontId="12" fillId="6" borderId="0" xfId="0" applyNumberFormat="1" applyFont="1" applyFill="1" applyBorder="1" applyAlignment="1">
      <x:alignment horizontal="right"/>
    </x:xf>
    <x:xf numFmtId="200" fontId="12" fillId="7" borderId="0" xfId="0" applyNumberFormat="1" applyFont="1" applyFill="1" applyBorder="1" applyAlignment="1">
      <x:alignment horizontal="right"/>
    </x:xf>
    <x:xf numFmtId="200" fontId="13" fillId="6" borderId="0" xfId="0" applyNumberFormat="1" applyFont="1" applyFill="1" applyBorder="1" applyAlignment="1">
      <x:alignment horizontal="right"/>
    </x:xf>
    <x:xf numFmtId="200" fontId="13" fillId="7" borderId="0" xfId="0" applyNumberFormat="1" applyFont="1" applyFill="1" applyBorder="1" applyAlignment="1">
      <x:alignment horizontal="right"/>
    </x:xf>
    <x:xf numFmtId="200" fontId="13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0" fontId="12" fillId="0" borderId="0" xfId="0" applyNumberFormat="1" applyFont="1" applyFill="1" applyBorder="1"/>
    <x:xf numFmtId="200" fontId="12" fillId="6" borderId="0" xfId="0" applyNumberFormat="1" applyFont="1" applyFill="1" applyBorder="1"/>
    <x:xf numFmtId="200" fontId="13" fillId="6" borderId="0" xfId="0" applyNumberFormat="1" applyFont="1" applyFill="1" applyBorder="1"/>
    <x:xf numFmtId="200" fontId="13" fillId="7" borderId="0" xfId="0" applyNumberFormat="1" applyFont="1" applyFill="1" applyBorder="1"/>
    <x:xf numFmtId="0" fontId="13" fillId="7" borderId="0" xfId="0" applyNumberFormat="1" applyFont="1" applyFill="1" applyBorder="1"/>
    <x:xf numFmtId="201" fontId="0" fillId="7" borderId="0" xfId="0" applyNumberFormat="1" applyFont="1" applyFill="1" applyBorder="1"/>
    <x:xf numFmtId="201" fontId="13" fillId="7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7" borderId="0" xfId="0" applyNumberFormat="1" applyFont="1" applyFill="1" applyBorder="1"/>
    <x:xf numFmtId="203" fontId="0" fillId="7" borderId="0" xfId="0" applyNumberFormat="1" applyFont="1" applyFill="1" applyBorder="1"/>
    <x:xf numFmtId="202" fontId="13" fillId="7" borderId="0" xfId="0" applyNumberFormat="1" applyFont="1" applyFill="1" applyBorder="1"/>
    <x:xf numFmtId="203" fontId="13" fillId="7" borderId="0" xfId="0" applyNumberFormat="1" applyFont="1" applyFill="1" applyBorder="1"/>
    <x:xf numFmtId="0" fontId="3" fillId="7" borderId="0" xfId="0" applyNumberFormat="1" applyFont="1" applyFill="1" applyBorder="1"/>
    <x:xf numFmtId="0" fontId="14" fillId="0" borderId="0" xfId="0" applyNumberFormat="1" applyFont="1" applyFill="1" applyBorder="1"/>
    <x:xf numFmtId="204" fontId="0" fillId="0" borderId="0" xfId="0" applyNumberFormat="1" applyFont="1" applyFill="1" applyBorder="1"/>
    <x:xf numFmtId="0" fontId="8" fillId="3" borderId="11" xfId="0" applyNumberFormat="1" applyFont="1" applyFill="1" applyBorder="1" applyAlignment="1">
      <x:alignment horizontal="center" vertical="center"/>
    </x:xf>
    <x:xf numFmtId="200" fontId="15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200" fontId="16" fillId="6" borderId="0" xfId="0" applyNumberFormat="1" applyFont="1" applyFill="1" applyBorder="1" applyAlignment="1">
      <x:alignment horizontal="right"/>
    </x:xf>
    <x:xf numFmtId="0" fontId="7" fillId="6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/>
    <x:xf numFmtId="200" fontId="16" fillId="7" borderId="0" xfId="0" applyNumberFormat="1" applyFont="1" applyFill="1" applyBorder="1" applyAlignment="1">
      <x:alignment horizontal="right"/>
    </x:xf>
    <x:xf numFmtId="0" fontId="7" fillId="7" borderId="0" xfId="0" applyNumberFormat="1" applyFont="1" applyFill="1" applyBorder="1" applyAlignment="1">
      <x:alignment wrapText="1"/>
    </x:xf>
    <x:xf numFmtId="200" fontId="16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 applyAlignment="1">
      <x:alignment vertical="center"/>
    </x:xf>
    <x:xf numFmtId="200" fontId="15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/>
    </x:xf>
    <x:xf numFmtId="200" fontId="16" fillId="6" borderId="0" xfId="0" applyNumberFormat="1" applyFont="1" applyFill="1" applyBorder="1" applyAlignment="1">
      <x:alignment horizontal="right" vertical="center"/>
    </x:xf>
    <x:xf numFmtId="0" fontId="7" fillId="6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/>
    </x:xf>
    <x:xf numFmtId="200" fontId="16" fillId="7" borderId="0" xfId="0" applyNumberFormat="1" applyFont="1" applyFill="1" applyBorder="1" applyAlignment="1">
      <x:alignment horizontal="right" vertical="center"/>
    </x:xf>
    <x:xf numFmtId="0" fontId="7" fillId="7" borderId="0" xfId="0" applyNumberFormat="1" applyFont="1" applyFill="1" applyBorder="1" applyAlignment="1">
      <x:alignment vertical="center" wrapText="1"/>
    </x:xf>
    <x:xf numFmtId="200" fontId="16" fillId="0" borderId="0" xfId="0" applyNumberFormat="1" applyFont="1" applyFill="1" applyBorder="1" applyAlignment="1">
      <x:alignment horizontal="right" vertical="center"/>
    </x:xf>
    <x:xf numFmtId="200" fontId="15" fillId="0" borderId="0" xfId="0" applyNumberFormat="1" applyFont="1" applyFill="1" applyBorder="1"/>
    <x:xf numFmtId="200" fontId="16" fillId="6" borderId="0" xfId="0" applyNumberFormat="1" applyFont="1" applyFill="1" applyBorder="1"/>
    <x:xf numFmtId="200" fontId="16" fillId="7" borderId="0" xfId="0" applyNumberFormat="1" applyFont="1" applyFill="1" applyBorder="1"/>
    <x:xf numFmtId="0" fontId="16" fillId="7" borderId="0" xfId="0" applyNumberFormat="1" applyFont="1" applyFill="1" applyBorder="1"/>
    <x:xf numFmtId="200" fontId="15" fillId="0" borderId="0" xfId="0" applyNumberFormat="1" applyFont="1" applyFill="1" applyBorder="1" applyAlignment="1">
      <x:alignment vertical="center"/>
    </x:xf>
    <x:xf numFmtId="200" fontId="16" fillId="6" borderId="0" xfId="0" applyNumberFormat="1" applyFont="1" applyFill="1" applyBorder="1" applyAlignment="1">
      <x:alignment vertical="center"/>
    </x:xf>
    <x:xf numFmtId="200" fontId="16" fillId="7" borderId="0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 applyAlignment="1">
      <x:alignment vertical="center"/>
    </x:xf>
    <x:xf numFmtId="201" fontId="16" fillId="7" borderId="0" xfId="0" applyNumberFormat="1" applyFont="1" applyFill="1" applyBorder="1"/>
    <x:xf numFmtId="201" fontId="16" fillId="7" borderId="0" xfId="0" applyNumberFormat="1" applyFont="1" applyFill="1" applyBorder="1" applyAlignment="1">
      <x:alignment vertical="center"/>
    </x:xf>
    <x:xf numFmtId="202" fontId="16" fillId="7" borderId="0" xfId="0" applyNumberFormat="1" applyFont="1" applyFill="1" applyBorder="1"/>
    <x:xf numFmtId="203" fontId="16" fillId="7" borderId="0" xfId="0" applyNumberFormat="1" applyFont="1" applyFill="1" applyBorder="1"/>
    <x:xf numFmtId="202" fontId="16" fillId="7" borderId="0" xfId="0" applyNumberFormat="1" applyFont="1" applyFill="1" applyBorder="1" applyAlignment="1">
      <x:alignment vertical="center"/>
    </x:xf>
    <x:xf numFmtId="203" fontId="16" fillId="7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204" fontId="7" fillId="0" borderId="0" xfId="0" applyNumberFormat="1" applyFont="1" applyFill="1" applyBorder="1"/>
    <x:xf numFmtId="0" fontId="9" fillId="7" borderId="0" xfId="0" applyNumberFormat="1" applyFont="1" applyFill="1" applyBorder="1"/>
    <x:xf numFmtId="0" fontId="1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601acfb59041f9" /><Relationship Type="http://schemas.openxmlformats.org/officeDocument/2006/relationships/theme" Target="/xl/theme/theme1.xml" Id="R5eb6cf2c22b74561" /><Relationship Type="http://schemas.openxmlformats.org/officeDocument/2006/relationships/sharedStrings" Target="/xl/sharedStrings.xml" Id="R84cc1cac4feb407a" /><Relationship Type="http://schemas.openxmlformats.org/officeDocument/2006/relationships/worksheet" Target="/xl/worksheets/sheet1.xml" Id="R1c06770106a843e0" /><Relationship Type="http://schemas.openxmlformats.org/officeDocument/2006/relationships/worksheet" Target="/xl/worksheets/sheet2.xml" Id="R8004d0c03f4a4bc6" /><Relationship Type="http://schemas.openxmlformats.org/officeDocument/2006/relationships/worksheet" Target="/xl/worksheets/sheet3.xml" Id="Ra85f762c802e4ddd" /><Relationship Type="http://schemas.openxmlformats.org/officeDocument/2006/relationships/worksheet" Target="/xl/worksheets/sheet4.xml" Id="R9e1cb228d11c4594" /><Relationship Type="http://schemas.openxmlformats.org/officeDocument/2006/relationships/worksheet" Target="/xl/worksheets/sheet5.xml" Id="Rc2e89f479a5f4f07" /><Relationship Type="http://schemas.openxmlformats.org/officeDocument/2006/relationships/worksheet" Target="/xl/worksheets/sheet6.xml" Id="R264c4942527c4247" /><Relationship Type="http://schemas.openxmlformats.org/officeDocument/2006/relationships/worksheet" Target="/xl/worksheets/sheet7.xml" Id="R17c0a62af5eb4e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44" t="str">
        <x:v>Orion Mobility Systems Ltd. - Synthetic Financial Workbook</x:v>
      </x:c>
      <x:c r="B1" s="44"/>
      <x:c r="C1" s="44"/>
      <x:c r="D1" s="44"/>
      <x:c r="E1" s="44"/>
      <x:c r="F1" s="44"/>
    </x:row>
    <x:row r="2" ht="30" customHeight="1">
      <x:c r="A2" s="44"/>
      <x:c r="B2" s="44"/>
      <x:c r="C2" s="44"/>
      <x:c r="D2" s="44"/>
      <x:c r="E2" s="44"/>
      <x:c r="F2" s="44"/>
    </x:row>
    <x:row r="3">
      <x:c r="A3" s="45"/>
      <x:c r="B3" s="45"/>
      <x:c r="C3" s="45"/>
      <x:c r="D3" s="45"/>
      <x:c r="E3" s="45"/>
      <x:c r="F3" s="45"/>
    </x:row>
    <x:row r="4">
      <x:c r="A4" s="46" t="str">
        <x:v>Field</x:v>
      </x:c>
      <x:c r="B4" s="47" t="str">
        <x:v>Value</x:v>
      </x:c>
      <x:c r="C4" s="45"/>
      <x:c r="D4" s="45"/>
      <x:c r="E4" s="45"/>
      <x:c r="F4" s="45"/>
    </x:row>
    <x:row r="5">
      <x:c r="A5" s="48" t="str">
        <x:v>Workbook ID</x:v>
      </x:c>
      <x:c r="B5" s="45" t="str">
        <x:v>ORION-FIN-2025-001</x:v>
      </x:c>
      <x:c r="C5" s="45"/>
      <x:c r="D5" s="45"/>
      <x:c r="E5" s="45"/>
      <x:c r="F5" s="45"/>
    </x:row>
    <x:row r="6">
      <x:c r="A6" s="48" t="str">
        <x:v>Tenant</x:v>
      </x:c>
      <x:c r="B6" s="45" t="str">
        <x:v>Orion Capital</x:v>
      </x:c>
      <x:c r="C6" s="45"/>
      <x:c r="D6" s="45"/>
      <x:c r="E6" s="45"/>
      <x:c r="F6" s="45"/>
    </x:row>
    <x:row r="7">
      <x:c r="A7" s="48" t="str">
        <x:v>Portfolio Company</x:v>
      </x:c>
      <x:c r="B7" s="45" t="str">
        <x:v>Orion Mobility Systems Ltd.</x:v>
      </x:c>
      <x:c r="C7" s="45"/>
      <x:c r="D7" s="45"/>
      <x:c r="E7" s="45"/>
      <x:c r="F7" s="45"/>
    </x:row>
    <x:row r="8">
      <x:c r="A8" s="48" t="str">
        <x:v>Department</x:v>
      </x:c>
      <x:c r="B8" s="45" t="str">
        <x:v>Finance</x:v>
      </x:c>
      <x:c r="C8" s="45"/>
      <x:c r="D8" s="45"/>
      <x:c r="E8" s="45"/>
      <x:c r="F8" s="45"/>
    </x:row>
    <x:row r="9">
      <x:c r="A9" s="48" t="str">
        <x:v>Visibility</x:v>
      </x:c>
      <x:c r="B9" s="45" t="str">
        <x:v>Finance only</x:v>
      </x:c>
      <x:c r="C9" s="45"/>
      <x:c r="D9" s="45"/>
      <x:c r="E9" s="45"/>
      <x:c r="F9" s="45"/>
    </x:row>
    <x:row r="10">
      <x:c r="A10" s="48" t="str">
        <x:v>Reporting Periods</x:v>
      </x:c>
      <x:c r="B10" s="45" t="str">
        <x:v>FY2024 and FY2025</x:v>
      </x:c>
      <x:c r="C10" s="45"/>
      <x:c r="D10" s="45"/>
      <x:c r="E10" s="45"/>
      <x:c r="F10" s="45"/>
    </x:row>
    <x:row r="11">
      <x:c r="A11" s="48" t="str">
        <x:v>Currency / Unit</x:v>
      </x:c>
      <x:c r="B11" s="45" t="str">
        <x:v>INR crore</x:v>
      </x:c>
      <x:c r="C11" s="45"/>
      <x:c r="D11" s="45"/>
      <x:c r="E11" s="45"/>
      <x:c r="F11" s="45"/>
    </x:row>
    <x:row r="12">
      <x:c r="A12" s="48" t="str">
        <x:v>Synthetic Data</x:v>
      </x:c>
      <x:c r="B12" s="45" t="str">
        <x:v>YES - fictional demonstration data</x:v>
      </x:c>
      <x:c r="C12" s="45"/>
      <x:c r="D12" s="45"/>
      <x:c r="E12" s="45"/>
      <x:c r="F12" s="45"/>
    </x:row>
    <x:row r="13">
      <x:c r="A13" s="45"/>
      <x:c r="B13" s="45"/>
      <x:c r="C13" s="45"/>
      <x:c r="D13" s="45"/>
      <x:c r="E13" s="45"/>
      <x:c r="F13" s="45"/>
    </x:row>
    <x:row r="14">
      <x:c r="A14" s="49" t="str">
        <x:v>Revenue grew 25.0%, while EBITDA margin declined from 15.0% to 10.0% due to battery input inflation, discounting, and service-network expansion.</x:v>
      </x:c>
      <x:c r="B14" s="50"/>
      <x:c r="C14" s="50"/>
      <x:c r="D14" s="50"/>
      <x:c r="E14" s="50"/>
      <x:c r="F14" s="51"/>
    </x:row>
    <x:row r="15">
      <x:c r="A15" s="52"/>
      <x:c r="B15" s="53"/>
      <x:c r="C15" s="53"/>
      <x:c r="D15" s="53"/>
      <x:c r="E15" s="53"/>
      <x:c r="F15" s="54"/>
    </x:row>
    <x:row r="16">
      <x:c r="A16" s="55"/>
      <x:c r="B16" s="56"/>
      <x:c r="C16" s="56"/>
      <x:c r="D16" s="56"/>
      <x:c r="E16" s="56"/>
      <x:c r="F16" s="57"/>
    </x:row>
    <x:row r="17">
      <x:c r="A17" s="45"/>
      <x:c r="B17" s="45"/>
      <x:c r="C17" s="45"/>
      <x:c r="D17" s="45"/>
      <x:c r="E17" s="45"/>
      <x:c r="F17" s="45"/>
    </x:row>
    <x:row r="18">
      <x:c r="A18" s="58" t="str">
        <x:v>Testing purpose: use this workbook to validate upload classification, sheet/row provenance, structured metric extraction, deterministic calculations, citations, Finance/Legal separation, and cross-tenant denial. Do not use for real investment decisions.</x:v>
      </x:c>
      <x:c r="B18" s="58"/>
      <x:c r="C18" s="58"/>
      <x:c r="D18" s="58"/>
      <x:c r="E18" s="58"/>
      <x:c r="F18" s="58"/>
    </x:row>
    <x:row r="19">
      <x:c r="A19" s="58"/>
      <x:c r="B19" s="58"/>
      <x:c r="C19" s="58"/>
      <x:c r="D19" s="58"/>
      <x:c r="E19" s="58"/>
      <x:c r="F19" s="58"/>
    </x:row>
    <x:row r="20">
      <x:c r="A20" s="58"/>
      <x:c r="B20" s="58"/>
      <x:c r="C20" s="58"/>
      <x:c r="D20" s="58"/>
      <x:c r="E20" s="58"/>
      <x:c r="F20" s="58"/>
    </x:row>
    <x:row r="21">
      <x:c r="A21" s="58"/>
      <x:c r="B21" s="58"/>
      <x:c r="C21" s="58"/>
      <x:c r="D21" s="58"/>
      <x:c r="E21" s="58"/>
      <x:c r="F21" s="58"/>
    </x:row>
    <x:row r="22">
      <x:c r="A22" s="45"/>
      <x:c r="B22" s="45"/>
      <x:c r="C22" s="45"/>
      <x:c r="D22" s="45"/>
      <x:c r="E22" s="45"/>
      <x:c r="F22" s="45"/>
    </x:row>
  </x:sheetData>
  <x:mergeCells>
    <x:mergeCell ref="A1:F2"/>
    <x:mergeCell ref="A14:F16"/>
    <x:mergeCell ref="A18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4" hidden="0" customWidth="1"/>
    <x:col min="5" max="5" width="48" hidden="0" customWidth="1"/>
  </x:cols>
  <x:sheetData>
    <x:row r="1" ht="30" customHeight="1">
      <x:c r="A1" s="44" t="str">
        <x:v>Orion Mobility Systems Ltd. - Profit and Loss</x:v>
      </x:c>
      <x:c r="B1" s="44"/>
      <x:c r="C1" s="44"/>
      <x:c r="D1" s="44"/>
      <x:c r="E1" s="44"/>
    </x:row>
    <x:row r="2" ht="30" customHeight="1">
      <x:c r="A2" s="44"/>
      <x:c r="B2" s="44"/>
      <x:c r="C2" s="44"/>
      <x:c r="D2" s="44"/>
      <x:c r="E2" s="44"/>
    </x:row>
    <x:row r="3">
      <x:c r="A3" s="46" t="str">
        <x:v>Metric</x:v>
      </x:c>
      <x:c r="B3" s="96" t="str">
        <x:v>FY2024</x:v>
      </x:c>
      <x:c r="C3" s="96" t="str">
        <x:v>FY2025</x:v>
      </x:c>
      <x:c r="D3" s="96" t="str">
        <x:v>Unit</x:v>
      </x:c>
      <x:c r="E3" s="47" t="str">
        <x:v>Source Reference</x:v>
      </x:c>
    </x:row>
    <x:row r="4">
      <x:c r="A4" s="106" t="str">
        <x:v>Revenue</x:v>
      </x:c>
      <x:c r="B4" s="107" t="n">
        <x:v>120</x:v>
      </x:c>
      <x:c r="C4" s="107" t="n">
        <x:v>150</x:v>
      </x:c>
      <x:c r="D4" s="106" t="str">
        <x:v>INR crore</x:v>
      </x:c>
      <x:c r="E4" s="108" t="str">
        <x:v>Orion_FY2025_Board_Pack.pdf p.2 / operating model</x:v>
      </x:c>
    </x:row>
    <x:row r="5">
      <x:c r="A5" s="106" t="str">
        <x:v>Cost of Goods Sold</x:v>
      </x:c>
      <x:c r="B5" s="107" t="n">
        <x:v>72</x:v>
      </x:c>
      <x:c r="C5" s="107" t="n">
        <x:v>96</x:v>
      </x:c>
      <x:c r="D5" s="106" t="str">
        <x:v>INR crore</x:v>
      </x:c>
      <x:c r="E5" s="108" t="str">
        <x:v>Orion_FY2025_Board_Pack.pdf p.2</x:v>
      </x:c>
    </x:row>
    <x:row r="6">
      <x:c r="A6" s="109" t="str">
        <x:v>Gross Profit</x:v>
      </x:c>
      <x:c r="B6" s="110" t="n">
        <x:f>B4-B5</x:f>
        <x:v>48</x:v>
      </x:c>
      <x:c r="C6" s="110" t="n">
        <x:f>C4-C5</x:f>
        <x:v>54</x:v>
      </x:c>
      <x:c r="D6" s="109" t="str">
        <x:v>INR crore</x:v>
      </x:c>
      <x:c r="E6" s="111" t="str">
        <x:v>Calculated: Revenue - COGS</x:v>
      </x:c>
    </x:row>
    <x:row r="7">
      <x:c r="A7" s="106" t="str">
        <x:v>Operating Expenses (excl. D&amp;A)</x:v>
      </x:c>
      <x:c r="B7" s="107" t="n">
        <x:v>30</x:v>
      </x:c>
      <x:c r="C7" s="107" t="n">
        <x:v>39</x:v>
      </x:c>
      <x:c r="D7" s="106" t="str">
        <x:v>INR crore</x:v>
      </x:c>
      <x:c r="E7" s="108" t="str">
        <x:v>Orion_FY2025_Board_Pack.pdf p.2</x:v>
      </x:c>
    </x:row>
    <x:row r="8">
      <x:c r="A8" s="112" t="str">
        <x:v>EBITDA</x:v>
      </x:c>
      <x:c r="B8" s="113" t="n">
        <x:f>B6-B7</x:f>
        <x:v>18</x:v>
      </x:c>
      <x:c r="C8" s="113" t="n">
        <x:f>C6-C7</x:f>
        <x:v>15</x:v>
      </x:c>
      <x:c r="D8" s="112" t="str">
        <x:v>INR crore</x:v>
      </x:c>
      <x:c r="E8" s="114" t="str">
        <x:v>Calculated: Gross Profit - Operating Expenses</x:v>
      </x:c>
    </x:row>
    <x:row r="9">
      <x:c r="A9" s="106" t="str">
        <x:v>Depreciation &amp; Amortization</x:v>
      </x:c>
      <x:c r="B9" s="107" t="n">
        <x:v>4</x:v>
      </x:c>
      <x:c r="C9" s="107" t="n">
        <x:v>5</x:v>
      </x:c>
      <x:c r="D9" s="106" t="str">
        <x:v>INR crore</x:v>
      </x:c>
      <x:c r="E9" s="108" t="str">
        <x:v>Synthetic general ledger summary</x:v>
      </x:c>
    </x:row>
    <x:row r="10">
      <x:c r="A10" s="106" t="str">
        <x:v>EBIT</x:v>
      </x:c>
      <x:c r="B10" s="115" t="n">
        <x:f>B8-B9</x:f>
        <x:v>14</x:v>
      </x:c>
      <x:c r="C10" s="115" t="n">
        <x:f>C8-C9</x:f>
        <x:v>10</x:v>
      </x:c>
      <x:c r="D10" s="106" t="str">
        <x:v>INR crore</x:v>
      </x:c>
      <x:c r="E10" s="108" t="str">
        <x:v>Calculated: EBITDA - D&amp;A</x:v>
      </x:c>
    </x:row>
    <x:row r="11">
      <x:c r="A11" s="106" t="str">
        <x:v>Interest Expense</x:v>
      </x:c>
      <x:c r="B11" s="107" t="n">
        <x:v>3</x:v>
      </x:c>
      <x:c r="C11" s="107" t="n">
        <x:v>4</x:v>
      </x:c>
      <x:c r="D11" s="106" t="str">
        <x:v>INR crore</x:v>
      </x:c>
      <x:c r="E11" s="108" t="str">
        <x:v>Synthetic debt schedule</x:v>
      </x:c>
    </x:row>
    <x:row r="12">
      <x:c r="A12" s="106" t="str">
        <x:v>Profit Before Tax</x:v>
      </x:c>
      <x:c r="B12" s="115" t="n">
        <x:f>B10-B11</x:f>
        <x:v>11</x:v>
      </x:c>
      <x:c r="C12" s="115" t="n">
        <x:f>C10-C11</x:f>
        <x:v>6</x:v>
      </x:c>
      <x:c r="D12" s="106" t="str">
        <x:v>INR crore</x:v>
      </x:c>
      <x:c r="E12" s="108" t="str">
        <x:v>Calculated: EBIT - Interest</x:v>
      </x:c>
    </x:row>
    <x:row r="13">
      <x:c r="A13" s="106" t="str">
        <x:v>Tax Expense</x:v>
      </x:c>
      <x:c r="B13" s="107" t="n">
        <x:v>2.75</x:v>
      </x:c>
      <x:c r="C13" s="107" t="n">
        <x:v>1.5</x:v>
      </x:c>
      <x:c r="D13" s="106" t="str">
        <x:v>INR crore</x:v>
      </x:c>
      <x:c r="E13" s="108" t="str">
        <x:v>Synthetic tax schedule</x:v>
      </x:c>
    </x:row>
    <x:row r="14">
      <x:c r="A14" s="112" t="str">
        <x:v>Net Profit</x:v>
      </x:c>
      <x:c r="B14" s="113" t="n">
        <x:f>B12-B13</x:f>
        <x:v>8.25</x:v>
      </x:c>
      <x:c r="C14" s="113" t="n">
        <x:f>C12-C13</x:f>
        <x:v>4.5</x:v>
      </x:c>
      <x:c r="D14" s="112" t="str">
        <x:v>INR crore</x:v>
      </x:c>
      <x:c r="E14" s="114" t="str">
        <x:v>Calculated: PBT - Tax</x:v>
      </x:c>
    </x:row>
  </x:sheetData>
  <x:mergeCells>
    <x:mergeCell ref="A1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4" hidden="0" customWidth="1"/>
    <x:col min="5" max="5" width="42" hidden="0" customWidth="1"/>
  </x:cols>
  <x:sheetData>
    <x:row r="1" ht="30" customHeight="1">
      <x:c r="A1" s="44" t="str">
        <x:v>Orion Mobility Systems Ltd. - Balance Sheet</x:v>
      </x:c>
      <x:c r="B1" s="44"/>
      <x:c r="C1" s="44"/>
      <x:c r="D1" s="44"/>
      <x:c r="E1" s="44"/>
    </x:row>
    <x:row r="2" ht="30" customHeight="1">
      <x:c r="A2" s="44"/>
      <x:c r="B2" s="44"/>
      <x:c r="C2" s="44"/>
      <x:c r="D2" s="44"/>
      <x:c r="E2" s="44"/>
    </x:row>
    <x:row r="3">
      <x:c r="A3" s="46" t="str">
        <x:v>Metric</x:v>
      </x:c>
      <x:c r="B3" s="96" t="str">
        <x:v>FY2024</x:v>
      </x:c>
      <x:c r="C3" s="96" t="str">
        <x:v>FY2025</x:v>
      </x:c>
      <x:c r="D3" s="96" t="str">
        <x:v>Unit</x:v>
      </x:c>
      <x:c r="E3" s="47" t="str">
        <x:v>Source Reference</x:v>
      </x:c>
    </x:row>
    <x:row r="4">
      <x:c r="A4" s="106" t="str">
        <x:v>Cash and Cash Equivalents</x:v>
      </x:c>
      <x:c r="B4" s="120" t="n">
        <x:v>25</x:v>
      </x:c>
      <x:c r="C4" s="120" t="n">
        <x:v>18</x:v>
      </x:c>
      <x:c r="D4" s="106" t="str">
        <x:v>INR crore</x:v>
      </x:c>
      <x:c r="E4" s="106" t="str">
        <x:v>Synthetic bank reconciliation</x:v>
      </x:c>
    </x:row>
    <x:row r="5">
      <x:c r="A5" s="106" t="str">
        <x:v>Accounts Receivable</x:v>
      </x:c>
      <x:c r="B5" s="120" t="n">
        <x:v>20</x:v>
      </x:c>
      <x:c r="C5" s="120" t="n">
        <x:v>28</x:v>
      </x:c>
      <x:c r="D5" s="106" t="str">
        <x:v>INR crore</x:v>
      </x:c>
      <x:c r="E5" s="106" t="str">
        <x:v>Synthetic receivables ledger</x:v>
      </x:c>
    </x:row>
    <x:row r="6">
      <x:c r="A6" s="106" t="str">
        <x:v>Inventory / Prepaid Assets</x:v>
      </x:c>
      <x:c r="B6" s="120" t="n">
        <x:v>15</x:v>
      </x:c>
      <x:c r="C6" s="120" t="n">
        <x:v>22</x:v>
      </x:c>
      <x:c r="D6" s="106" t="str">
        <x:v>INR crore</x:v>
      </x:c>
      <x:c r="E6" s="106" t="str">
        <x:v>Synthetic operations ledger</x:v>
      </x:c>
    </x:row>
    <x:row r="7">
      <x:c r="A7" s="106" t="str">
        <x:v>Property, Plant &amp; Equipment</x:v>
      </x:c>
      <x:c r="B7" s="120" t="n">
        <x:v>40</x:v>
      </x:c>
      <x:c r="C7" s="120" t="n">
        <x:v>54</x:v>
      </x:c>
      <x:c r="D7" s="106" t="str">
        <x:v>INR crore</x:v>
      </x:c>
      <x:c r="E7" s="106" t="str">
        <x:v>Synthetic fixed asset register</x:v>
      </x:c>
    </x:row>
    <x:row r="8">
      <x:c r="A8" s="109" t="str">
        <x:v>Total Assets</x:v>
      </x:c>
      <x:c r="B8" s="121" t="n">
        <x:f>SUM(B4:B7)</x:f>
        <x:v>100</x:v>
      </x:c>
      <x:c r="C8" s="121" t="n">
        <x:f>SUM(C4:C7)</x:f>
        <x:v>122</x:v>
      </x:c>
      <x:c r="D8" s="109" t="str">
        <x:v>INR crore</x:v>
      </x:c>
      <x:c r="E8" s="109" t="str">
        <x:v>Calculated</x:v>
      </x:c>
    </x:row>
    <x:row r="9">
      <x:c r="A9" s="106" t="str">
        <x:v>Bank Debt</x:v>
      </x:c>
      <x:c r="B9" s="120" t="n">
        <x:v>40</x:v>
      </x:c>
      <x:c r="C9" s="120" t="n">
        <x:v>55</x:v>
      </x:c>
      <x:c r="D9" s="106" t="str">
        <x:v>INR crore</x:v>
      </x:c>
      <x:c r="E9" s="106" t="str">
        <x:v>Synthetic debt schedule</x:v>
      </x:c>
    </x:row>
    <x:row r="10">
      <x:c r="A10" s="106" t="str">
        <x:v>Accounts Payable</x:v>
      </x:c>
      <x:c r="B10" s="120" t="n">
        <x:v>15</x:v>
      </x:c>
      <x:c r="C10" s="120" t="n">
        <x:v>20</x:v>
      </x:c>
      <x:c r="D10" s="106" t="str">
        <x:v>INR crore</x:v>
      </x:c>
      <x:c r="E10" s="106" t="str">
        <x:v>Synthetic payables ledger</x:v>
      </x:c>
    </x:row>
    <x:row r="11">
      <x:c r="A11" s="106" t="str">
        <x:v>Other Liabilities</x:v>
      </x:c>
      <x:c r="B11" s="120" t="n">
        <x:v>5</x:v>
      </x:c>
      <x:c r="C11" s="120" t="n">
        <x:v>7</x:v>
      </x:c>
      <x:c r="D11" s="106" t="str">
        <x:v>INR crore</x:v>
      </x:c>
      <x:c r="E11" s="106" t="str">
        <x:v>Synthetic liabilities ledger</x:v>
      </x:c>
    </x:row>
    <x:row r="12">
      <x:c r="A12" s="109" t="str">
        <x:v>Total Liabilities</x:v>
      </x:c>
      <x:c r="B12" s="121" t="n">
        <x:f>SUM(B9:B11)</x:f>
        <x:v>60</x:v>
      </x:c>
      <x:c r="C12" s="121" t="n">
        <x:f>SUM(C9:C11)</x:f>
        <x:v>82</x:v>
      </x:c>
      <x:c r="D12" s="109" t="str">
        <x:v>INR crore</x:v>
      </x:c>
      <x:c r="E12" s="109" t="str">
        <x:v>Calculated</x:v>
      </x:c>
    </x:row>
    <x:row r="13">
      <x:c r="A13" s="109" t="str">
        <x:v>Shareholders' Equity</x:v>
      </x:c>
      <x:c r="B13" s="121" t="n">
        <x:f>B8-B12</x:f>
        <x:v>40</x:v>
      </x:c>
      <x:c r="C13" s="121" t="n">
        <x:f>C8-C12</x:f>
        <x:v>40</x:v>
      </x:c>
      <x:c r="D13" s="109" t="str">
        <x:v>INR crore</x:v>
      </x:c>
      <x:c r="E13" s="109" t="str">
        <x:v>Calculated balancing figure</x:v>
      </x:c>
    </x:row>
    <x:row r="14">
      <x:c r="A14" s="109" t="str">
        <x:v>Liabilities + Equity</x:v>
      </x:c>
      <x:c r="B14" s="121" t="n">
        <x:f>B12+B13</x:f>
        <x:v>100</x:v>
      </x:c>
      <x:c r="C14" s="121" t="n">
        <x:f>C12+C13</x:f>
        <x:v>122</x:v>
      </x:c>
      <x:c r="D14" s="109" t="str">
        <x:v>INR crore</x:v>
      </x:c>
      <x:c r="E14" s="109" t="str">
        <x:v>Calculated</x:v>
      </x:c>
    </x:row>
    <x:row r="15">
      <x:c r="A15" s="112" t="str">
        <x:v>Balance Check</x:v>
      </x:c>
      <x:c r="B15" s="122" t="n">
        <x:f>B8-B14</x:f>
        <x:v>0</x:v>
      </x:c>
      <x:c r="C15" s="122" t="n">
        <x:f>C8-C14</x:f>
        <x:v>0</x:v>
      </x:c>
      <x:c r="D15" s="112" t="str">
        <x:v>INR crore</x:v>
      </x:c>
      <x:c r="E15" s="112" t="str">
        <x:v>Must equal zero</x:v>
      </x:c>
    </x:row>
    <x:row r="16">
      <x:c r="A16" s="112" t="str">
        <x:v>Status</x:v>
      </x:c>
      <x:c r="B16" s="123" t="str">
        <x:f>IF(ABS(B15)&lt;0.001,"PASS","FAIL")</x:f>
        <x:v>PASS</x:v>
      </x:c>
      <x:c r="C16" s="123" t="str">
        <x:f>IF(ABS(C15)&lt;0.001,"PASS","FAIL")</x:f>
        <x:v>PASS</x:v>
      </x:c>
      <x:c r="D16" s="112" t="str">
        <x:v>Text</x:v>
      </x:c>
      <x:c r="E16" s="112" t="str">
        <x:v>PASS when balance check is zero</x:v>
      </x:c>
    </x:row>
  </x:sheetData>
  <x:mergeCells>
    <x:mergeCell ref="A1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8" hidden="0" customWidth="1"/>
    <x:col min="5" max="5" width="42" hidden="0" customWidth="1"/>
  </x:cols>
  <x:sheetData>
    <x:row r="1" ht="30" customHeight="1">
      <x:c r="A1" s="44" t="str">
        <x:v>Orion Mobility Systems Ltd. - Cash Flow and Runway Inputs</x:v>
      </x:c>
      <x:c r="B1" s="44"/>
      <x:c r="C1" s="44"/>
      <x:c r="D1" s="44"/>
      <x:c r="E1" s="44"/>
    </x:row>
    <x:row r="2" ht="30" customHeight="1">
      <x:c r="A2" s="44"/>
      <x:c r="B2" s="44"/>
      <x:c r="C2" s="44"/>
      <x:c r="D2" s="44"/>
      <x:c r="E2" s="44"/>
    </x:row>
    <x:row r="3">
      <x:c r="A3" s="46" t="str">
        <x:v>Metric</x:v>
      </x:c>
      <x:c r="B3" s="96" t="str">
        <x:v>FY2024</x:v>
      </x:c>
      <x:c r="C3" s="96" t="str">
        <x:v>FY2025</x:v>
      </x:c>
      <x:c r="D3" s="96" t="str">
        <x:v>Unit</x:v>
      </x:c>
      <x:c r="E3" s="47" t="str">
        <x:v>Source Reference</x:v>
      </x:c>
    </x:row>
    <x:row r="4">
      <x:c r="A4" s="106" t="str">
        <x:v>Opening Cash</x:v>
      </x:c>
      <x:c r="B4" s="120" t="n">
        <x:v>20</x:v>
      </x:c>
      <x:c r="C4" s="120" t="n">
        <x:v>25</x:v>
      </x:c>
      <x:c r="D4" s="106" t="str">
        <x:v>INR crore</x:v>
      </x:c>
      <x:c r="E4" s="106" t="str">
        <x:v>Prior-period closing cash</x:v>
      </x:c>
    </x:row>
    <x:row r="5">
      <x:c r="A5" s="106" t="str">
        <x:v>Operating Cash Flow</x:v>
      </x:c>
      <x:c r="B5" s="120" t="n">
        <x:v>12</x:v>
      </x:c>
      <x:c r="C5" s="120" t="n">
        <x:v>6</x:v>
      </x:c>
      <x:c r="D5" s="106" t="str">
        <x:v>INR crore</x:v>
      </x:c>
      <x:c r="E5" s="106" t="str">
        <x:v>Synthetic cash-flow statement</x:v>
      </x:c>
    </x:row>
    <x:row r="6">
      <x:c r="A6" s="106" t="str">
        <x:v>Capital Expenditure</x:v>
      </x:c>
      <x:c r="B6" s="120" t="n">
        <x:v>-12</x:v>
      </x:c>
      <x:c r="C6" s="120" t="n">
        <x:v>-15</x:v>
      </x:c>
      <x:c r="D6" s="106" t="str">
        <x:v>INR crore</x:v>
      </x:c>
      <x:c r="E6" s="106" t="str">
        <x:v>Synthetic capex schedule</x:v>
      </x:c>
    </x:row>
    <x:row r="7">
      <x:c r="A7" s="106" t="str">
        <x:v>Financing Cash Flow</x:v>
      </x:c>
      <x:c r="B7" s="120" t="n">
        <x:v>5</x:v>
      </x:c>
      <x:c r="C7" s="120" t="n">
        <x:v>2</x:v>
      </x:c>
      <x:c r="D7" s="106" t="str">
        <x:v>INR crore</x:v>
      </x:c>
      <x:c r="E7" s="106" t="str">
        <x:v>Synthetic financing schedule</x:v>
      </x:c>
    </x:row>
    <x:row r="8">
      <x:c r="A8" s="109" t="str">
        <x:v>Net Change in Cash</x:v>
      </x:c>
      <x:c r="B8" s="121" t="n">
        <x:f>SUM(B5:B7)</x:f>
        <x:v>5</x:v>
      </x:c>
      <x:c r="C8" s="121" t="n">
        <x:f>SUM(C5:C7)</x:f>
        <x:v>-7</x:v>
      </x:c>
      <x:c r="D8" s="109" t="str">
        <x:v>INR crore</x:v>
      </x:c>
      <x:c r="E8" s="109" t="str">
        <x:v>Calculated</x:v>
      </x:c>
    </x:row>
    <x:row r="9">
      <x:c r="A9" s="109" t="str">
        <x:v>Closing Cash</x:v>
      </x:c>
      <x:c r="B9" s="121" t="n">
        <x:f>B4+B8</x:f>
        <x:v>25</x:v>
      </x:c>
      <x:c r="C9" s="121" t="n">
        <x:f>C4+C8</x:f>
        <x:v>18</x:v>
      </x:c>
      <x:c r="D9" s="109" t="str">
        <x:v>INR crore</x:v>
      </x:c>
      <x:c r="E9" s="109" t="str">
        <x:v>Calculated</x:v>
      </x:c>
    </x:row>
    <x:row r="10">
      <x:c r="A10" s="106" t="str">
        <x:v>Stress-case Monthly Burn</x:v>
      </x:c>
      <x:c r="B10" s="120" t="n">
        <x:v>2</x:v>
      </x:c>
      <x:c r="C10" s="120" t="n">
        <x:v>3</x:v>
      </x:c>
      <x:c r="D10" s="106" t="str">
        <x:v>INR crore/month</x:v>
      </x:c>
      <x:c r="E10" s="106" t="str">
        <x:v>Synthetic downside assumption</x:v>
      </x:c>
    </x:row>
    <x:row r="11">
      <x:c r="A11" s="112" t="str">
        <x:v>Stress-case Cash Runway</x:v>
      </x:c>
      <x:c r="B11" s="125" t="n">
        <x:f>IF(B10=0,NA(),B9/B10)</x:f>
        <x:v>12.5</x:v>
      </x:c>
      <x:c r="C11" s="125" t="n">
        <x:f>IF(C10=0,NA(),C9/C10)</x:f>
        <x:v>6</x:v>
      </x:c>
      <x:c r="D11" s="112" t="str">
        <x:v>months</x:v>
      </x:c>
      <x:c r="E11" s="112" t="str">
        <x:v>Closing Cash / Monthly Burn</x:v>
      </x:c>
    </x:row>
  </x:sheetData>
  <x:mergeCells>
    <x:mergeCell ref="A1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  <x:col min="6" max="6" width="38" hidden="0" customWidth="1"/>
  </x:cols>
  <x:sheetData>
    <x:row r="1" ht="30" customHeight="1">
      <x:c r="A1" s="44" t="str">
        <x:v>Orion Mobility Systems Ltd. - Approved Financial Metrics</x:v>
      </x:c>
      <x:c r="B1" s="44"/>
      <x:c r="C1" s="44"/>
      <x:c r="D1" s="44"/>
      <x:c r="E1" s="44"/>
      <x:c r="F1" s="44"/>
    </x:row>
    <x:row r="2" ht="30" customHeight="1">
      <x:c r="A2" s="44"/>
      <x:c r="B2" s="44"/>
      <x:c r="C2" s="44"/>
      <x:c r="D2" s="44"/>
      <x:c r="E2" s="44"/>
      <x:c r="F2" s="44"/>
    </x:row>
    <x:row r="3">
      <x:c r="A3" s="46" t="str">
        <x:v>Metric</x:v>
      </x:c>
      <x:c r="B3" s="96" t="str">
        <x:v>FY2024</x:v>
      </x:c>
      <x:c r="C3" s="96" t="str">
        <x:v>FY2025</x:v>
      </x:c>
      <x:c r="D3" s="96" t="str">
        <x:v>Unit</x:v>
      </x:c>
      <x:c r="E3" s="96" t="str">
        <x:v>Formula ID</x:v>
      </x:c>
      <x:c r="F3" s="47" t="str">
        <x:v>Evidence</x:v>
      </x:c>
    </x:row>
    <x:row r="4">
      <x:c r="A4" s="112" t="str">
        <x:v>Revenue Growth</x:v>
      </x:c>
      <x:c r="B4" s="128"/>
      <x:c r="C4" s="128" t="n">
        <x:f>('P&amp;L'!C4/'P&amp;L'!B4)-1</x:f>
        <x:v>0.25</x:v>
      </x:c>
      <x:c r="D4" s="112" t="str">
        <x:v>%</x:v>
      </x:c>
      <x:c r="E4" s="112" t="str">
        <x:v>REVENUE_GROWTH</x:v>
      </x:c>
      <x:c r="F4" s="112" t="str">
        <x:v>P&amp;L Revenue</x:v>
      </x:c>
    </x:row>
    <x:row r="5">
      <x:c r="A5" s="112" t="str">
        <x:v>EBITDA Margin</x:v>
      </x:c>
      <x:c r="B5" s="128" t="n">
        <x:f>'P&amp;L'!B8/'P&amp;L'!B4</x:f>
        <x:v>0.15</x:v>
      </x:c>
      <x:c r="C5" s="128" t="n">
        <x:f>'P&amp;L'!C8/'P&amp;L'!C4</x:f>
        <x:v>0.1</x:v>
      </x:c>
      <x:c r="D5" s="112" t="str">
        <x:v>%</x:v>
      </x:c>
      <x:c r="E5" s="112" t="str">
        <x:v>EBITDA_MARGIN</x:v>
      </x:c>
      <x:c r="F5" s="112" t="str">
        <x:v>P&amp;L EBITDA / Revenue</x:v>
      </x:c>
    </x:row>
    <x:row r="6">
      <x:c r="A6" s="112" t="str">
        <x:v>Net Profit Margin</x:v>
      </x:c>
      <x:c r="B6" s="128" t="n">
        <x:f>'P&amp;L'!B14/'P&amp;L'!B4</x:f>
        <x:v>0.06875</x:v>
      </x:c>
      <x:c r="C6" s="128" t="n">
        <x:f>'P&amp;L'!C14/'P&amp;L'!C4</x:f>
        <x:v>0.03</x:v>
      </x:c>
      <x:c r="D6" s="112" t="str">
        <x:v>%</x:v>
      </x:c>
      <x:c r="E6" s="112" t="str">
        <x:v>NET_PROFIT_MARGIN</x:v>
      </x:c>
      <x:c r="F6" s="112" t="str">
        <x:v>P&amp;L Net Profit / Revenue</x:v>
      </x:c>
    </x:row>
    <x:row r="7">
      <x:c r="A7" s="112" t="str">
        <x:v>Debt to Equity</x:v>
      </x:c>
      <x:c r="B7" s="129" t="n">
        <x:f>'Balance Sheet'!B9/'Balance Sheet'!B13</x:f>
        <x:v>1</x:v>
      </x:c>
      <x:c r="C7" s="129" t="n">
        <x:f>'Balance Sheet'!C9/'Balance Sheet'!C13</x:f>
        <x:v>1.375</x:v>
      </x:c>
      <x:c r="D7" s="112" t="str">
        <x:v>x</x:v>
      </x:c>
      <x:c r="E7" s="112" t="str">
        <x:v>DEBT_TO_EQUITY</x:v>
      </x:c>
      <x:c r="F7" s="112" t="str">
        <x:v>Balance Sheet Bank Debt / Equity</x:v>
      </x:c>
    </x:row>
    <x:row r="8">
      <x:c r="A8" s="112" t="str">
        <x:v>Stress-case Cash Runway</x:v>
      </x:c>
      <x:c r="B8" s="125" t="n">
        <x:f>'Cash Flow'!B11</x:f>
        <x:v>12.5</x:v>
      </x:c>
      <x:c r="C8" s="125" t="n">
        <x:f>'Cash Flow'!C11</x:f>
        <x:v>6</x:v>
      </x:c>
      <x:c r="D8" s="112" t="str">
        <x:v>months</x:v>
      </x:c>
      <x:c r="E8" s="112" t="str">
        <x:v>CASH_RUNWAY</x:v>
      </x:c>
      <x:c r="F8" s="112" t="str">
        <x:v>Cash Flow Closing Cash / Monthly Burn</x:v>
      </x:c>
    </x:row>
    <x:row r="9">
      <x:c r="A9" s="112" t="str">
        <x:v>Revenue CAGR (1 year)</x:v>
      </x:c>
      <x:c r="B9" s="128"/>
      <x:c r="C9" s="128" t="n">
        <x:f>('P&amp;L'!C4/'P&amp;L'!B4)^(1/1)-1</x:f>
        <x:v>0.25</x:v>
      </x:c>
      <x:c r="D9" s="112" t="str">
        <x:v>%</x:v>
      </x:c>
      <x:c r="E9" s="112" t="str">
        <x:v>CAGR</x:v>
      </x:c>
      <x:c r="F9" s="112" t="str">
        <x:v>P&amp;L Revenue</x:v>
      </x:c>
    </x:row>
  </x:sheetData>
  <x:mergeCells>
    <x:mergeCell ref="A1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14" hidden="0" customWidth="1"/>
    <x:col min="8" max="8" width="34" hidden="0" customWidth="1"/>
  </x:cols>
  <x:sheetData>
    <x:row r="1" ht="30" customHeight="1">
      <x:c r="A1" s="44" t="str">
        <x:v>Orion Mobility Systems Ltd. - Source and Provenance Register</x:v>
      </x:c>
      <x:c r="B1" s="44"/>
      <x:c r="C1" s="44"/>
      <x:c r="D1" s="44"/>
      <x:c r="E1" s="44"/>
      <x:c r="F1" s="44"/>
      <x:c r="G1" s="44"/>
      <x:c r="H1" s="44"/>
    </x:row>
    <x:row r="2" ht="30" customHeight="1">
      <x:c r="A2" s="44"/>
      <x:c r="B2" s="44"/>
      <x:c r="C2" s="44"/>
      <x:c r="D2" s="44"/>
      <x:c r="E2" s="44"/>
      <x:c r="F2" s="44"/>
      <x:c r="G2" s="44"/>
      <x:c r="H2" s="44"/>
    </x:row>
    <x:row r="3">
      <x:c r="A3" s="46" t="str">
        <x:v>Source ID</x:v>
      </x:c>
      <x:c r="B3" s="96" t="str">
        <x:v>Item</x:v>
      </x:c>
      <x:c r="C3" s="96" t="str">
        <x:v>Period</x:v>
      </x:c>
      <x:c r="D3" s="96" t="str">
        <x:v>Source Type</x:v>
      </x:c>
      <x:c r="E3" s="96" t="str">
        <x:v>Source Name</x:v>
      </x:c>
      <x:c r="F3" s="96" t="str">
        <x:v>Reference</x:v>
      </x:c>
      <x:c r="G3" s="96" t="str">
        <x:v>Owner</x:v>
      </x:c>
      <x:c r="H3" s="47" t="str">
        <x:v>Notes</x:v>
      </x:c>
    </x:row>
    <x:row r="4">
      <x:c r="A4" s="108" t="str">
        <x:v>ORION-SRC-001</x:v>
      </x:c>
      <x:c r="B4" s="108" t="str">
        <x:v>P&amp;L values</x:v>
      </x:c>
      <x:c r="C4" s="108" t="str">
        <x:v>FY2024-FY2025</x:v>
      </x:c>
      <x:c r="D4" s="108" t="str">
        <x:v>Finance PDF</x:v>
      </x:c>
      <x:c r="E4" s="108" t="str">
        <x:v>Orion_FY2025_Board_Pack.pdf</x:v>
      </x:c>
      <x:c r="F4" s="108" t="str">
        <x:v>Page 2</x:v>
      </x:c>
      <x:c r="G4" s="108" t="str">
        <x:v>Finance</x:v>
      </x:c>
      <x:c r="H4" s="108" t="str">
        <x:v>Narrative and selected financial table</x:v>
      </x:c>
    </x:row>
    <x:row r="5">
      <x:c r="A5" s="108" t="str">
        <x:v>ORION-SRC-002</x:v>
      </x:c>
      <x:c r="B5" s="108" t="str">
        <x:v>Balance sheet values</x:v>
      </x:c>
      <x:c r="C5" s="108" t="str">
        <x:v>FY2024-FY2025</x:v>
      </x:c>
      <x:c r="D5" s="108" t="str">
        <x:v>Synthetic ledger</x:v>
      </x:c>
      <x:c r="E5" s="108" t="str">
        <x:v>Balance Sheet Extract</x:v>
      </x:c>
      <x:c r="F5" s="108" t="str">
        <x:v>Rows 4-16</x:v>
      </x:c>
      <x:c r="G5" s="108" t="str">
        <x:v>Finance</x:v>
      </x:c>
      <x:c r="H5" s="108" t="str">
        <x:v>Fictional structured records</x:v>
      </x:c>
    </x:row>
    <x:row r="6">
      <x:c r="A6" s="108" t="str">
        <x:v>ORION-SRC-003</x:v>
      </x:c>
      <x:c r="B6" s="108" t="str">
        <x:v>Cash flow values</x:v>
      </x:c>
      <x:c r="C6" s="108" t="str">
        <x:v>FY2024-FY2025</x:v>
      </x:c>
      <x:c r="D6" s="108" t="str">
        <x:v>Synthetic ledger</x:v>
      </x:c>
      <x:c r="E6" s="108" t="str">
        <x:v>Cash Flow Extract</x:v>
      </x:c>
      <x:c r="F6" s="108" t="str">
        <x:v>Rows 4-11</x:v>
      </x:c>
      <x:c r="G6" s="108" t="str">
        <x:v>Finance</x:v>
      </x:c>
      <x:c r="H6" s="108" t="str">
        <x:v>Fictional structured records</x:v>
      </x:c>
    </x:row>
    <x:row r="7">
      <x:c r="A7" s="108" t="str">
        <x:v>ORION-SRC-004</x:v>
      </x:c>
      <x:c r="B7" s="108" t="str">
        <x:v>Performance drivers</x:v>
      </x:c>
      <x:c r="C7" s="108" t="str">
        <x:v>FY2025</x:v>
      </x:c>
      <x:c r="D7" s="108" t="str">
        <x:v>Finance PDF</x:v>
      </x:c>
      <x:c r="E7" s="108" t="str">
        <x:v>Orion_FY2025_Board_Pack.pdf</x:v>
      </x:c>
      <x:c r="F7" s="108" t="str">
        <x:v>Pages 3-4</x:v>
      </x:c>
      <x:c r="G7" s="108" t="str">
        <x:v>Finance</x:v>
      </x:c>
      <x:c r="H7" s="108" t="str">
        <x:v>Management narrative</x:v>
      </x:c>
    </x:row>
    <x:row r="8">
      <x:c r="A8" s="108" t="str">
        <x:v>ORION-SRC-005</x:v>
      </x:c>
      <x:c r="B8" s="108" t="str">
        <x:v>Metric formulas</x:v>
      </x:c>
      <x:c r="C8" s="108" t="str">
        <x:v>FY2024-FY2025</x:v>
      </x:c>
      <x:c r="D8" s="108" t="str">
        <x:v>Workbook</x:v>
      </x:c>
      <x:c r="E8" s="108" t="str">
        <x:v>Orion_FY2024_FY2025_Financials.xlsx</x:v>
      </x:c>
      <x:c r="F8" s="108" t="str">
        <x:v>Metrics!A4:F9</x:v>
      </x:c>
      <x:c r="G8" s="108" t="str">
        <x:v>Finance</x:v>
      </x:c>
      <x:c r="H8" s="108" t="str">
        <x:v>Formula-driven outputs</x:v>
      </x:c>
    </x:row>
    <x:row r="9">
      <x:c r="A9" s="108" t="str">
        <x:v>ORION-SRC-006</x:v>
      </x:c>
      <x:c r="B9" s="108" t="str">
        <x:v>Stress burn assumption</x:v>
      </x:c>
      <x:c r="C9" s="108" t="str">
        <x:v>FY2024-FY2025</x:v>
      </x:c>
      <x:c r="D9" s="108" t="str">
        <x:v>Assumption</x:v>
      </x:c>
      <x:c r="E9" s="108" t="str">
        <x:v>Orion_FY2024_FY2025_Financials.xlsx</x:v>
      </x:c>
      <x:c r="F9" s="108" t="str">
        <x:v>Cash Flow!B10:C10</x:v>
      </x:c>
      <x:c r="G9" s="108" t="str">
        <x:v>Finance</x:v>
      </x:c>
      <x:c r="H9" s="108" t="str">
        <x:v>Synthetic downside assumption</x:v>
      </x:c>
    </x:row>
  </x:sheetData>
  <x:mergeCells>
    <x:mergeCell ref="A1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4" hidden="0" customWidth="1"/>
    <x:col min="5" max="5" width="42" hidden="0" customWidth="1"/>
  </x:cols>
  <x:sheetData>
    <x:row r="1" ht="30" customHeight="1">
      <x:c r="A1" s="44" t="str">
        <x:v>Orion Mobility Systems Ltd. - Model Checks</x:v>
      </x:c>
      <x:c r="B1" s="44"/>
      <x:c r="C1" s="44"/>
      <x:c r="D1" s="44"/>
      <x:c r="E1" s="44"/>
    </x:row>
    <x:row r="2" ht="30" customHeight="1">
      <x:c r="A2" s="44"/>
      <x:c r="B2" s="44"/>
      <x:c r="C2" s="44"/>
      <x:c r="D2" s="44"/>
      <x:c r="E2" s="44"/>
    </x:row>
    <x:row r="3">
      <x:c r="A3" s="46" t="str">
        <x:v>Check</x:v>
      </x:c>
      <x:c r="B3" s="96" t="str">
        <x:v>FY2024</x:v>
      </x:c>
      <x:c r="C3" s="96" t="str">
        <x:v>FY2025</x:v>
      </x:c>
      <x:c r="D3" s="96" t="str">
        <x:v>Tolerance</x:v>
      </x:c>
      <x:c r="E3" s="47" t="str">
        <x:v>Where to Fix</x:v>
      </x:c>
    </x:row>
    <x:row r="4">
      <x:c r="A4" s="106" t="str">
        <x:v>P&amp;L: Gross Profit</x:v>
      </x:c>
      <x:c r="B4" s="133" t="str">
        <x:f>IF(ABS('P&amp;L'!B6-('P&amp;L'!B4-'P&amp;L'!B5))&lt;=$D4,"PASS","FAIL")</x:f>
        <x:v>PASS</x:v>
      </x:c>
      <x:c r="C4" s="133" t="str">
        <x:f>IF(ABS('P&amp;L'!C6-('P&amp;L'!C4-'P&amp;L'!C5))&lt;=$D4,"PASS","FAIL")</x:f>
        <x:v>PASS</x:v>
      </x:c>
      <x:c r="D4" s="134" t="n">
        <x:v>0.001</x:v>
      </x:c>
      <x:c r="E4" s="106" t="str">
        <x:v>P&amp;L rows 4-6</x:v>
      </x:c>
    </x:row>
    <x:row r="5">
      <x:c r="A5" s="106" t="str">
        <x:v>P&amp;L: EBITDA</x:v>
      </x:c>
      <x:c r="B5" s="133" t="str">
        <x:f>IF(ABS('P&amp;L'!B8-('P&amp;L'!B6-'P&amp;L'!B7))&lt;=$D5,"PASS","FAIL")</x:f>
        <x:v>PASS</x:v>
      </x:c>
      <x:c r="C5" s="133" t="str">
        <x:f>IF(ABS('P&amp;L'!C8-('P&amp;L'!C6-'P&amp;L'!C7))&lt;=$D5,"PASS","FAIL")</x:f>
        <x:v>PASS</x:v>
      </x:c>
      <x:c r="D5" s="134" t="n">
        <x:v>0.001</x:v>
      </x:c>
      <x:c r="E5" s="106" t="str">
        <x:v>P&amp;L rows 6-8</x:v>
      </x:c>
    </x:row>
    <x:row r="6">
      <x:c r="A6" s="106" t="str">
        <x:v>P&amp;L: Net Profit</x:v>
      </x:c>
      <x:c r="B6" s="133" t="str">
        <x:f>IF(ABS('P&amp;L'!B14-('P&amp;L'!B12-'P&amp;L'!B13))&lt;=$D6,"PASS","FAIL")</x:f>
        <x:v>PASS</x:v>
      </x:c>
      <x:c r="C6" s="133" t="str">
        <x:f>IF(ABS('P&amp;L'!C14-('P&amp;L'!C12-'P&amp;L'!C13))&lt;=$D6,"PASS","FAIL")</x:f>
        <x:v>PASS</x:v>
      </x:c>
      <x:c r="D6" s="134" t="n">
        <x:v>0.001</x:v>
      </x:c>
      <x:c r="E6" s="106" t="str">
        <x:v>P&amp;L rows 12-14</x:v>
      </x:c>
    </x:row>
    <x:row r="7">
      <x:c r="A7" s="106" t="str">
        <x:v>Balance Sheet</x:v>
      </x:c>
      <x:c r="B7" s="133" t="str">
        <x:f>'Balance Sheet'!B16</x:f>
        <x:v>PASS</x:v>
      </x:c>
      <x:c r="C7" s="133" t="str">
        <x:f>'Balance Sheet'!C16</x:f>
        <x:v>PASS</x:v>
      </x:c>
      <x:c r="D7" s="134" t="n">
        <x:v>0.001</x:v>
      </x:c>
      <x:c r="E7" s="106" t="str">
        <x:v>Balance Sheet rows 8-15</x:v>
      </x:c>
    </x:row>
    <x:row r="8">
      <x:c r="A8" s="106" t="str">
        <x:v>Closing Cash agrees</x:v>
      </x:c>
      <x:c r="B8" s="133" t="str">
        <x:f>IF(ABS('Balance Sheet'!B4-'Cash Flow'!B9)&lt;=$D8,"PASS","FAIL")</x:f>
        <x:v>PASS</x:v>
      </x:c>
      <x:c r="C8" s="133" t="str">
        <x:f>IF(ABS('Balance Sheet'!C4-'Cash Flow'!C9)&lt;=$D8,"PASS","FAIL")</x:f>
        <x:v>PASS</x:v>
      </x:c>
      <x:c r="D8" s="134" t="n">
        <x:v>0.001</x:v>
      </x:c>
      <x:c r="E8" s="106" t="str">
        <x:v>Balance Sheet cash / Cash Flow closing cash</x:v>
      </x:c>
    </x:row>
    <x:row r="9">
      <x:c r="A9" s="135" t="str">
        <x:v>MODEL STATUS</x:v>
      </x:c>
      <x:c r="B9" s="135" t="str">
        <x:f>IF(COUNTIF(B4:B8,"FAIL")=0,"PASS","FAIL")</x:f>
        <x:v>PASS</x:v>
      </x:c>
      <x:c r="C9" s="135" t="str">
        <x:f>IF(COUNTIF(C4:C8,"FAIL")=0,"PASS","FAIL")</x:f>
        <x:v>PASS</x:v>
      </x:c>
      <x:c r="D9" s="135"/>
      <x:c r="E9" s="135" t="str">
        <x:v>All checks must PASS</x:v>
      </x:c>
    </x:row>
  </x:sheetData>
  <x:mergeCells>
    <x:mergeCell ref="A1:E2"/>
  </x:mergeCells>
  <x:pageMargins left="0.7" right="0.7" top="0.75" bottom="0.75" header="0.3" footer="0.3"/>
</x:worksheet>
</file>